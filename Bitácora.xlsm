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perez\Desktop\"/>
    </mc:Choice>
  </mc:AlternateContent>
  <xr:revisionPtr revIDLastSave="0" documentId="13_ncr:1_{77CEB17B-8831-408E-BB65-6B67E6B7FED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greso" sheetId="1" r:id="rId1"/>
    <sheet name="DB" sheetId="2" r:id="rId2"/>
    <sheet name="Lista" sheetId="4" r:id="rId3"/>
  </sheets>
  <definedNames>
    <definedName name="_xlnm._FilterDatabase" localSheetId="1" hidden="1">DB!$A$1:$U$1</definedName>
    <definedName name="AyudanteLista">#REF!</definedName>
    <definedName name="ClientesLista">#REF!</definedName>
    <definedName name="IngServLista">#REF!</definedName>
    <definedName name="SupervisorLista">#REF!</definedName>
    <definedName name="TIPO_DE_FALLA">#REF!</definedName>
    <definedName name="Y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2" i="1"/>
</calcChain>
</file>

<file path=xl/sharedStrings.xml><?xml version="1.0" encoding="utf-8"?>
<sst xmlns="http://schemas.openxmlformats.org/spreadsheetml/2006/main" count="219" uniqueCount="185">
  <si>
    <t>REFERENCIA #</t>
  </si>
  <si>
    <t>CLIENTE</t>
  </si>
  <si>
    <t>SUCURSAL</t>
  </si>
  <si>
    <t>FECHA DE ATENCIÓN</t>
  </si>
  <si>
    <t>Automercados Plazas</t>
  </si>
  <si>
    <t>FECHA DE REPORTE</t>
  </si>
  <si>
    <t>INGRESO DE DATOS</t>
  </si>
  <si>
    <t>INGENIERO DE SERVICIO</t>
  </si>
  <si>
    <t>ESTATUS</t>
  </si>
  <si>
    <t>TIPO DE FALLA</t>
  </si>
  <si>
    <t>ENVIADO A FACTURACIÓN</t>
  </si>
  <si>
    <t>OBSERVACIONES</t>
  </si>
  <si>
    <t>PROCEDIMIENTO APLICADO</t>
  </si>
  <si>
    <t>Octavio Corao</t>
  </si>
  <si>
    <t>Eléctrica</t>
  </si>
  <si>
    <t>Mecánica</t>
  </si>
  <si>
    <t>Operación</t>
  </si>
  <si>
    <t>Abierta</t>
  </si>
  <si>
    <t>Cerrada</t>
  </si>
  <si>
    <t>Stand By</t>
  </si>
  <si>
    <t>Reasignada</t>
  </si>
  <si>
    <t>Garantía</t>
  </si>
  <si>
    <t>Si</t>
  </si>
  <si>
    <t>No</t>
  </si>
  <si>
    <t>Unicasa</t>
  </si>
  <si>
    <t>Luvebras</t>
  </si>
  <si>
    <t>Automercado Luz</t>
  </si>
  <si>
    <t>Kromi Market</t>
  </si>
  <si>
    <t>Biomercados</t>
  </si>
  <si>
    <t>Forum</t>
  </si>
  <si>
    <t>Alimentos Polar</t>
  </si>
  <si>
    <t>Supermercados Santo Tomé</t>
  </si>
  <si>
    <t>Superlíder</t>
  </si>
  <si>
    <t>Día a Día</t>
  </si>
  <si>
    <t>De Cándido</t>
  </si>
  <si>
    <t>Makro</t>
  </si>
  <si>
    <t>REPORTE</t>
  </si>
  <si>
    <t>FALLA</t>
  </si>
  <si>
    <t>Control</t>
  </si>
  <si>
    <t>FECHA DE CIERRE</t>
  </si>
  <si>
    <t>Juan Carlos Montilla</t>
  </si>
  <si>
    <t>Orlando Hurtado</t>
  </si>
  <si>
    <t>José Stand</t>
  </si>
  <si>
    <t>Jhonatan Acuña</t>
  </si>
  <si>
    <t>Reyles Ruíz</t>
  </si>
  <si>
    <t>Pablo Castañeda</t>
  </si>
  <si>
    <t>Alexis Armas</t>
  </si>
  <si>
    <t>Angel Tovar</t>
  </si>
  <si>
    <t>Anderson Tuarez</t>
  </si>
  <si>
    <t>Carlos Salmerón</t>
  </si>
  <si>
    <t>Lonny Ramírez</t>
  </si>
  <si>
    <t>José García</t>
  </si>
  <si>
    <t>Isbeth Ramos</t>
  </si>
  <si>
    <t>Mauricio Gil</t>
  </si>
  <si>
    <t>REFERENCIA</t>
  </si>
  <si>
    <t>TÉCNICO SUPERVISOR</t>
  </si>
  <si>
    <t>AYUDANTE</t>
  </si>
  <si>
    <t>No Aplica</t>
  </si>
  <si>
    <t>CONTRATISTA</t>
  </si>
  <si>
    <t>Leonardo Jaimes</t>
  </si>
  <si>
    <t>Dahlin Álvarez</t>
  </si>
  <si>
    <t>Néstor Sierralta</t>
  </si>
  <si>
    <t>RIF J - 00136606 - 7</t>
  </si>
  <si>
    <t>ING. DE SERVICIO</t>
  </si>
  <si>
    <t>% REFRIGERANTE RECOGIDO</t>
  </si>
  <si>
    <t>% REFRIGERANTE TRABAJANDO</t>
  </si>
  <si>
    <t>RECARGA DE REFRIGERANTE (KG)</t>
  </si>
  <si>
    <t>Leandro Morales</t>
  </si>
  <si>
    <t>Iván Herrera</t>
  </si>
  <si>
    <t>Junior Álvarez</t>
  </si>
  <si>
    <t>Jacinto Vega</t>
  </si>
  <si>
    <t>Viva Supercentro</t>
  </si>
  <si>
    <t>Mantenimiento</t>
  </si>
  <si>
    <t>Alex Lugo</t>
  </si>
  <si>
    <t>Gliber Pérez</t>
  </si>
  <si>
    <t>Preventivo</t>
  </si>
  <si>
    <t>Gabriel González</t>
  </si>
  <si>
    <t>Juan Lecca</t>
  </si>
  <si>
    <t>Carlos Marcano</t>
  </si>
  <si>
    <t>Josmar Méndez</t>
  </si>
  <si>
    <t>Leander Pérez</t>
  </si>
  <si>
    <t>Central Madeirense</t>
  </si>
  <si>
    <t>Frimaca</t>
  </si>
  <si>
    <t>Gama</t>
  </si>
  <si>
    <t>Grupo Paulet</t>
  </si>
  <si>
    <t>La Montserratina</t>
  </si>
  <si>
    <t>Mi Negocio</t>
  </si>
  <si>
    <t>Nola Gourmet</t>
  </si>
  <si>
    <t>Páramo</t>
  </si>
  <si>
    <t>Pita Pollo</t>
  </si>
  <si>
    <t>Plan Suárez</t>
  </si>
  <si>
    <t>Supermercado Santa Paula</t>
  </si>
  <si>
    <t>TDC</t>
  </si>
  <si>
    <t>Vecino</t>
  </si>
  <si>
    <t>Vida</t>
  </si>
  <si>
    <t>Alejandro Guzman</t>
  </si>
  <si>
    <t>TIPO DE REFRIGERANTE</t>
  </si>
  <si>
    <t>MOTIVO VISITA</t>
  </si>
  <si>
    <t>Acarigua</t>
  </si>
  <si>
    <t>Glycol</t>
  </si>
  <si>
    <t>Altamira</t>
  </si>
  <si>
    <t>R-22</t>
  </si>
  <si>
    <t>Barquisimeto</t>
  </si>
  <si>
    <t>Falso Reporte</t>
  </si>
  <si>
    <t>R-290</t>
  </si>
  <si>
    <t>Baruta</t>
  </si>
  <si>
    <t>Instalación</t>
  </si>
  <si>
    <t>R-404A</t>
  </si>
  <si>
    <t>Bella Vista</t>
  </si>
  <si>
    <t>R-422D</t>
  </si>
  <si>
    <t>Bello Campo</t>
  </si>
  <si>
    <t>R-744 (CO2)</t>
  </si>
  <si>
    <t>Bello Monte</t>
  </si>
  <si>
    <t>Boleíta</t>
  </si>
  <si>
    <t>Cabudare</t>
  </si>
  <si>
    <t>Cafetal</t>
  </si>
  <si>
    <t>Cagua</t>
  </si>
  <si>
    <t>Caricuao</t>
  </si>
  <si>
    <t>Cedipro</t>
  </si>
  <si>
    <t>Centro Plaza</t>
  </si>
  <si>
    <t>Chacao</t>
  </si>
  <si>
    <t>Chuao</t>
  </si>
  <si>
    <t>El Llanito</t>
  </si>
  <si>
    <t>El Marqués</t>
  </si>
  <si>
    <t>El Paraíso</t>
  </si>
  <si>
    <t>El Trigal</t>
  </si>
  <si>
    <t>Express - La Trinidad</t>
  </si>
  <si>
    <t>Guarenas</t>
  </si>
  <si>
    <t>Guatire</t>
  </si>
  <si>
    <t>Higuerote</t>
  </si>
  <si>
    <t>Híper</t>
  </si>
  <si>
    <t>IPSFA</t>
  </si>
  <si>
    <t>La Carlota</t>
  </si>
  <si>
    <t>La Cascada</t>
  </si>
  <si>
    <t>La Castellana</t>
  </si>
  <si>
    <t>La Florida</t>
  </si>
  <si>
    <t>La Isabelica</t>
  </si>
  <si>
    <t>La Jolla</t>
  </si>
  <si>
    <t>La Trinidad</t>
  </si>
  <si>
    <t>La Urbina</t>
  </si>
  <si>
    <t>La Viña</t>
  </si>
  <si>
    <t>La Yaguara</t>
  </si>
  <si>
    <t>Las Mercedes</t>
  </si>
  <si>
    <t>Líder</t>
  </si>
  <si>
    <t>Los Cedros</t>
  </si>
  <si>
    <t>Los Chaguaramos</t>
  </si>
  <si>
    <t>Los Naranjos</t>
  </si>
  <si>
    <t>Los Nísperos</t>
  </si>
  <si>
    <t>Los Ruices</t>
  </si>
  <si>
    <t>Macaracuay</t>
  </si>
  <si>
    <t>Maiquetía</t>
  </si>
  <si>
    <t>Manzanares</t>
  </si>
  <si>
    <t>Mañongo</t>
  </si>
  <si>
    <t>Maracay</t>
  </si>
  <si>
    <t>Maturín Centro</t>
  </si>
  <si>
    <t>Monagas Plaza</t>
  </si>
  <si>
    <t>Montalban</t>
  </si>
  <si>
    <t>Parque Esmeralda</t>
  </si>
  <si>
    <t>Patio Trigal</t>
  </si>
  <si>
    <t>Pedregal</t>
  </si>
  <si>
    <t>Plaza Las Américas</t>
  </si>
  <si>
    <t>Plus - La Trinidad</t>
  </si>
  <si>
    <t>Prebo</t>
  </si>
  <si>
    <t>Quick</t>
  </si>
  <si>
    <t>Quinta Crespo</t>
  </si>
  <si>
    <t>San Antonio</t>
  </si>
  <si>
    <t>San Bernardino</t>
  </si>
  <si>
    <t>San Felipe</t>
  </si>
  <si>
    <t>Santa Cecilia</t>
  </si>
  <si>
    <t>Santa Eduvigis</t>
  </si>
  <si>
    <t>Santa Inés</t>
  </si>
  <si>
    <t>Santa María</t>
  </si>
  <si>
    <t>Santa Marta</t>
  </si>
  <si>
    <t>Santa Mónica</t>
  </si>
  <si>
    <t>Sebucán</t>
  </si>
  <si>
    <t>Terrazas del Ávila</t>
  </si>
  <si>
    <t>Uslar</t>
  </si>
  <si>
    <t>Valle Arriba</t>
  </si>
  <si>
    <t>Veracruz</t>
  </si>
  <si>
    <t>Vizcaya</t>
  </si>
  <si>
    <t>MOTIVO DE VISITA</t>
  </si>
  <si>
    <t>RM23-19478</t>
  </si>
  <si>
    <t>Compresor #2</t>
  </si>
  <si>
    <t>Aaron Galvis</t>
  </si>
  <si>
    <t>Santa 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</si>
</sst>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2"/>
      <color rgb="FF66CCFF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n">
        <color auto="1"/>
      </bottom>
      <diagonal/>
    </border>
    <border>
      <left style="thick">
        <color rgb="FF002060"/>
      </left>
      <right style="thick">
        <color rgb="FF002060"/>
      </right>
      <top style="thin">
        <color auto="1"/>
      </top>
      <bottom style="thin">
        <color auto="1"/>
      </bottom>
      <diagonal/>
    </border>
    <border>
      <left style="thick">
        <color rgb="FF002060"/>
      </left>
      <right style="thick">
        <color rgb="FF002060"/>
      </right>
      <top style="thin">
        <color auto="1"/>
      </top>
      <bottom style="thick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3" borderId="0" xfId="0" applyFill="1" applyAlignment="1">
      <alignment vertical="center" wrapText="1"/>
    </xf>
    <xf numFmtId="0" fontId="3" fillId="3" borderId="0" xfId="0" applyFont="1" applyFill="1" applyAlignment="1">
      <alignment vertical="center" wrapText="1"/>
    </xf>
    <xf numFmtId="0" fontId="1" fillId="2" borderId="3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 wrapText="1"/>
    </xf>
    <xf numFmtId="0" fontId="4" fillId="3" borderId="0" xfId="0" applyFont="1" applyFill="1" applyAlignment="1">
      <alignment horizontal="left" vertical="center" wrapText="1"/>
    </xf>
    <xf numFmtId="0" fontId="2" fillId="4" borderId="3" xfId="0" applyFont="1" applyFill="1" applyBorder="1" applyAlignment="1">
      <alignment vertical="center" wrapText="1"/>
    </xf>
    <xf numFmtId="14" fontId="2" fillId="4" borderId="3" xfId="0" applyNumberFormat="1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vertical="center" wrapText="1"/>
    </xf>
    <xf numFmtId="164" fontId="5" fillId="3" borderId="0" xfId="0" applyNumberFormat="1" applyFont="1" applyFill="1" applyAlignment="1">
      <alignment vertical="center" wrapText="1"/>
    </xf>
    <xf numFmtId="19" fontId="5" fillId="3" borderId="0" xfId="0" applyNumberFormat="1" applyFont="1" applyFill="1" applyAlignment="1">
      <alignment vertical="center" wrapText="1"/>
    </xf>
    <xf numFmtId="14" fontId="2" fillId="4" borderId="3" xfId="0" applyNumberFormat="1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14" fontId="6" fillId="2" borderId="1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14" fontId="6" fillId="2" borderId="0" xfId="0" applyNumberFormat="1" applyFont="1" applyFill="1" applyAlignment="1">
      <alignment horizontal="center" vertical="center" wrapText="1"/>
    </xf>
    <xf numFmtId="0" fontId="7" fillId="0" borderId="0" xfId="0" applyFont="1"/>
    <xf numFmtId="14" fontId="7" fillId="0" borderId="0" xfId="0" applyNumberFormat="1" applyFont="1"/>
    <xf numFmtId="0" fontId="0" fillId="0" borderId="5" xfId="0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14" fontId="1" fillId="2" borderId="5" xfId="0" applyNumberFormat="1" applyFont="1" applyFill="1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</cellXfs>
  <cellStyles count="1">
    <cellStyle name="Normal" xfId="0" builtinId="0"/>
  </cellStyles>
  <dxfs count="2">
    <dxf>
      <font>
        <color rgb="FFFF0000"/>
      </font>
      <fill>
        <patternFill>
          <bgColor rgb="FF92D050"/>
        </patternFill>
      </fill>
    </dxf>
    <dxf>
      <font>
        <color rgb="FFFF0000"/>
      </font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66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18</xdr:row>
      <xdr:rowOff>171450</xdr:rowOff>
    </xdr:from>
    <xdr:to>
      <xdr:col>6</xdr:col>
      <xdr:colOff>1019175</xdr:colOff>
      <xdr:row>22</xdr:row>
      <xdr:rowOff>47625</xdr:rowOff>
    </xdr:to>
    <xdr:sp macro="[0]!EliminarRegistro" textlink="">
      <xdr:nvSpPr>
        <xdr:cNvPr id="3" name="2 Flecha izquierd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43050" y="3409950"/>
          <a:ext cx="1000125" cy="6381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VE" sz="1100" b="1"/>
            <a:t>ELIMINAR</a:t>
          </a:r>
          <a:r>
            <a:rPr lang="es-VE" sz="1100" b="1" baseline="0"/>
            <a:t> REGISTRO</a:t>
          </a:r>
          <a:endParaRPr lang="es-VE" sz="1100" b="1"/>
        </a:p>
      </xdr:txBody>
    </xdr:sp>
    <xdr:clientData/>
  </xdr:twoCellAnchor>
  <xdr:twoCellAnchor>
    <xdr:from>
      <xdr:col>6</xdr:col>
      <xdr:colOff>1438274</xdr:colOff>
      <xdr:row>22</xdr:row>
      <xdr:rowOff>19050</xdr:rowOff>
    </xdr:from>
    <xdr:to>
      <xdr:col>7</xdr:col>
      <xdr:colOff>1533525</xdr:colOff>
      <xdr:row>24</xdr:row>
      <xdr:rowOff>152400</xdr:rowOff>
    </xdr:to>
    <xdr:sp macro="[0]!LimpiarBase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962274" y="4019550"/>
          <a:ext cx="1533526" cy="5143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VE" sz="1100" b="1"/>
            <a:t>LIMPIAR</a:t>
          </a:r>
          <a:r>
            <a:rPr lang="es-VE" sz="1100" b="1" baseline="0"/>
            <a:t> BASE DE DATO</a:t>
          </a:r>
          <a:endParaRPr lang="es-VE" sz="1100" b="1"/>
        </a:p>
      </xdr:txBody>
    </xdr:sp>
    <xdr:clientData/>
  </xdr:twoCellAnchor>
  <xdr:twoCellAnchor>
    <xdr:from>
      <xdr:col>7</xdr:col>
      <xdr:colOff>1971675</xdr:colOff>
      <xdr:row>19</xdr:row>
      <xdr:rowOff>9525</xdr:rowOff>
    </xdr:from>
    <xdr:to>
      <xdr:col>7</xdr:col>
      <xdr:colOff>2933700</xdr:colOff>
      <xdr:row>22</xdr:row>
      <xdr:rowOff>28575</xdr:rowOff>
    </xdr:to>
    <xdr:sp macro="[0]!DataInsert" textlink="">
      <xdr:nvSpPr>
        <xdr:cNvPr id="8" name="7 Flecha derech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33950" y="3438525"/>
          <a:ext cx="962025" cy="590550"/>
        </a:xfrm>
        <a:prstGeom prst="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VE" sz="1100" b="1"/>
            <a:t>INGRESAR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723900</xdr:colOff>
      <xdr:row>6</xdr:row>
      <xdr:rowOff>2153</xdr:rowOff>
    </xdr:to>
    <xdr:pic>
      <xdr:nvPicPr>
        <xdr:cNvPr id="1028" name="Picture 4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9050" y="95250"/>
          <a:ext cx="2990850" cy="1049903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J19"/>
  <sheetViews>
    <sheetView tabSelected="1" topLeftCell="E1" zoomScale="130" zoomScaleNormal="130" workbookViewId="0">
      <selection activeCell="H18" sqref="H18"/>
    </sheetView>
  </sheetViews>
  <sheetFormatPr baseColWidth="10" defaultColWidth="11.42578125" defaultRowHeight="15" x14ac:dyDescent="0.25"/>
  <cols>
    <col min="1" max="6" width="11.42578125" style="1"/>
    <col min="7" max="7" width="21.5703125" style="1" customWidth="1"/>
    <col min="8" max="8" width="44.28515625" style="1" customWidth="1"/>
    <col min="9" max="9" width="11.42578125" style="1"/>
    <col min="10" max="10" width="33.28515625" style="1" customWidth="1"/>
    <col min="11" max="16384" width="11.42578125" style="1"/>
  </cols>
  <sheetData>
    <row r="2" spans="1:10" x14ac:dyDescent="0.25">
      <c r="J2" s="9">
        <f ca="1">TODAY()</f>
        <v>45411</v>
      </c>
    </row>
    <row r="3" spans="1:10" x14ac:dyDescent="0.25">
      <c r="J3" s="10">
        <f ca="1">NOW()</f>
        <v>45411.459462037034</v>
      </c>
    </row>
    <row r="4" spans="1:10" x14ac:dyDescent="0.25">
      <c r="G4" s="2"/>
    </row>
    <row r="7" spans="1:10" ht="15.75" x14ac:dyDescent="0.25">
      <c r="A7" s="26" t="s">
        <v>62</v>
      </c>
      <c r="B7" s="26"/>
      <c r="C7" s="26"/>
      <c r="D7" s="26"/>
    </row>
    <row r="8" spans="1:10" ht="16.5" thickBot="1" x14ac:dyDescent="0.3">
      <c r="A8" s="5"/>
      <c r="B8" s="5"/>
      <c r="C8" s="5"/>
      <c r="D8" s="5"/>
    </row>
    <row r="9" spans="1:10" ht="15.75" thickTop="1" x14ac:dyDescent="0.25">
      <c r="A9" s="27"/>
      <c r="B9" s="27"/>
      <c r="C9" s="27"/>
      <c r="D9" s="27"/>
      <c r="G9" s="25" t="s">
        <v>6</v>
      </c>
      <c r="H9" s="25"/>
    </row>
    <row r="10" spans="1:10" x14ac:dyDescent="0.25">
      <c r="A10" s="27"/>
      <c r="B10" s="27"/>
      <c r="C10" s="27"/>
      <c r="D10" s="27"/>
      <c r="G10" s="3" t="s">
        <v>0</v>
      </c>
      <c r="H10" s="6" t="s">
        <v>181</v>
      </c>
    </row>
    <row r="11" spans="1:10" x14ac:dyDescent="0.25">
      <c r="G11" s="3" t="s">
        <v>1</v>
      </c>
      <c r="H11" s="6" t="s">
        <v>26</v>
      </c>
    </row>
    <row r="12" spans="1:10" x14ac:dyDescent="0.25">
      <c r="G12" s="3" t="s">
        <v>2</v>
      </c>
      <c r="H12" s="11" t="s">
        <v>120</v>
      </c>
    </row>
    <row r="13" spans="1:10" x14ac:dyDescent="0.25">
      <c r="G13" s="3" t="s">
        <v>36</v>
      </c>
      <c r="H13" s="11" t="s">
        <v>182</v>
      </c>
    </row>
    <row r="14" spans="1:10" x14ac:dyDescent="0.25">
      <c r="G14" s="3" t="s">
        <v>5</v>
      </c>
      <c r="H14" s="7">
        <v>45040</v>
      </c>
    </row>
    <row r="15" spans="1:10" x14ac:dyDescent="0.25">
      <c r="G15" s="3" t="s">
        <v>63</v>
      </c>
      <c r="H15" s="6" t="s">
        <v>80</v>
      </c>
    </row>
    <row r="16" spans="1:10" x14ac:dyDescent="0.25">
      <c r="G16" s="3" t="s">
        <v>55</v>
      </c>
      <c r="H16" s="6" t="s">
        <v>44</v>
      </c>
    </row>
    <row r="17" spans="7:8" ht="15.75" thickBot="1" x14ac:dyDescent="0.3">
      <c r="G17" s="4" t="s">
        <v>56</v>
      </c>
      <c r="H17" s="8" t="s">
        <v>57</v>
      </c>
    </row>
    <row r="18" spans="7:8" ht="16.5" thickTop="1" thickBot="1" x14ac:dyDescent="0.3">
      <c r="G18" s="4" t="s">
        <v>180</v>
      </c>
      <c r="H18" s="8" t="s">
        <v>15</v>
      </c>
    </row>
    <row r="19" spans="7:8" ht="15.75" thickTop="1" x14ac:dyDescent="0.25"/>
  </sheetData>
  <mergeCells count="4">
    <mergeCell ref="G9:H9"/>
    <mergeCell ref="A7:D7"/>
    <mergeCell ref="A9:D9"/>
    <mergeCell ref="A10:D10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1000000}">
          <x14:formula1>
            <xm:f>Lista!$F$2:$F$6</xm:f>
          </x14:formula1>
          <xm:sqref>H15</xm:sqref>
        </x14:dataValidation>
        <x14:dataValidation type="list" allowBlank="1" showInputMessage="1" showErrorMessage="1" xr:uid="{00000000-0002-0000-0000-000002000000}">
          <x14:formula1>
            <xm:f>Lista!$G$2:$G$15</xm:f>
          </x14:formula1>
          <xm:sqref>H16</xm:sqref>
        </x14:dataValidation>
        <x14:dataValidation type="list" allowBlank="1" showInputMessage="1" showErrorMessage="1" xr:uid="{34073FD1-77DB-4861-BB28-529E90D57503}">
          <x14:formula1>
            <xm:f>Lista!$M$2:$M$9</xm:f>
          </x14:formula1>
          <xm:sqref>H18</xm:sqref>
        </x14:dataValidation>
        <x14:dataValidation type="list" allowBlank="1" showInputMessage="1" showErrorMessage="1" xr:uid="{00000000-0002-0000-0000-000003000000}">
          <x14:formula1>
            <xm:f>Lista!$H$2:$H$15</xm:f>
          </x14:formula1>
          <xm:sqref>H17</xm:sqref>
        </x14:dataValidation>
        <x14:dataValidation type="list" allowBlank="1" showInputMessage="1" showErrorMessage="1" xr:uid="{00000000-0002-0000-0000-000000000000}">
          <x14:formula1>
            <xm:f>Lista!$B$2:$B$29</xm:f>
          </x14:formula1>
          <xm:sqref>H11</xm:sqref>
        </x14:dataValidation>
        <x14:dataValidation type="list" allowBlank="1" showInputMessage="1" showErrorMessage="1" xr:uid="{A124E0D3-D1C2-44DF-A8D0-B18A4363A45A}">
          <x14:formula1>
            <xm:f>Lista!$C$2:$C$76</xm:f>
          </x14:formula1>
          <xm:sqref>H12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U1"/>
  <sheetViews>
    <sheetView zoomScale="70" zoomScaleNormal="70" workbookViewId="0">
      <pane xSplit="1" topLeftCell="B1" activePane="topRight" state="frozen"/>
      <selection activeCell="A30" sqref="A30"/>
      <selection pane="topRight" activeCell="B10" sqref="B10"/>
    </sheetView>
  </sheetViews>
  <sheetFormatPr baseColWidth="10" defaultColWidth="11.42578125" defaultRowHeight="33" customHeight="1" x14ac:dyDescent="0.25"/>
  <cols>
    <col min="1" max="1" width="17.42578125" style="18" customWidth="1"/>
    <col min="2" max="2" width="26" style="18" customWidth="1"/>
    <col min="3" max="3" width="22.85546875" style="18" customWidth="1"/>
    <col min="4" max="4" width="34.28515625" style="18" customWidth="1"/>
    <col min="5" max="5" width="20" style="24" customWidth="1"/>
    <col min="6" max="8" width="21.42578125" style="19" customWidth="1"/>
    <col min="9" max="9" width="18.5703125" style="19" customWidth="1"/>
    <col min="10" max="10" width="18" style="20" customWidth="1"/>
    <col min="11" max="11" width="19.85546875" style="21" customWidth="1"/>
    <col min="12" max="12" width="50.7109375" style="19" customWidth="1"/>
    <col min="13" max="13" width="57.28515625" style="19" customWidth="1"/>
    <col min="14" max="16" width="23" style="20" customWidth="1"/>
    <col min="17" max="18" width="23.85546875" style="19" customWidth="1"/>
    <col min="19" max="19" width="17.140625" style="21" customWidth="1"/>
    <col min="20" max="20" width="18.140625" style="19" customWidth="1"/>
    <col min="21" max="21" width="73.42578125" style="19" customWidth="1"/>
    <col min="22" max="16384" width="11.42578125" style="18"/>
  </cols>
  <sheetData>
    <row r="1" spans="1:21" ht="62.25" customHeight="1" x14ac:dyDescent="0.25">
      <c r="A1" s="22" t="s">
        <v>54</v>
      </c>
      <c r="B1" s="22" t="s">
        <v>1</v>
      </c>
      <c r="C1" s="22" t="s">
        <v>2</v>
      </c>
      <c r="D1" s="22" t="s">
        <v>36</v>
      </c>
      <c r="E1" s="23" t="s">
        <v>5</v>
      </c>
      <c r="F1" s="22" t="s">
        <v>7</v>
      </c>
      <c r="G1" s="22" t="s">
        <v>55</v>
      </c>
      <c r="H1" s="22" t="s">
        <v>56</v>
      </c>
      <c r="I1" s="22" t="s">
        <v>9</v>
      </c>
      <c r="J1" s="22" t="s">
        <v>58</v>
      </c>
      <c r="K1" s="23" t="s">
        <v>3</v>
      </c>
      <c r="L1" s="22" t="s">
        <v>37</v>
      </c>
      <c r="M1" s="22" t="s">
        <v>12</v>
      </c>
      <c r="N1" s="22" t="s">
        <v>65</v>
      </c>
      <c r="O1" s="22" t="s">
        <v>64</v>
      </c>
      <c r="P1" s="22" t="s">
        <v>66</v>
      </c>
      <c r="Q1" s="22" t="s">
        <v>96</v>
      </c>
      <c r="R1" s="22" t="s">
        <v>8</v>
      </c>
      <c r="S1" s="23" t="s">
        <v>39</v>
      </c>
      <c r="T1" s="22" t="s">
        <v>10</v>
      </c>
      <c r="U1" s="22" t="s">
        <v>11</v>
      </c>
    </row>
  </sheetData>
  <autoFilter ref="A1:U1" xr:uid="{00000000-0001-0000-0100-000000000000}"/>
  <phoneticPr fontId="8" type="noConversion"/>
  <conditionalFormatting sqref="A1">
    <cfRule type="duplicateValues" dxfId="1" priority="52"/>
  </conditionalFormatting>
  <pageMargins left="0.7" right="0.7" top="0.75" bottom="0.75" header="0.3" footer="0.3"/>
  <pageSetup scale="10" orientation="landscape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5D0FB8-B426-408D-822E-0EE870714665}">
          <x14:formula1>
            <xm:f>Lista!$P$2:$P$7</xm:f>
          </x14:formula1>
          <xm:sqref>Q2:Q1048576</xm:sqref>
        </x14:dataValidation>
        <x14:dataValidation type="list" allowBlank="1" showInputMessage="1" showErrorMessage="1" xr:uid="{9AAE9053-B5D9-4E53-AA60-1FB707E65572}">
          <x14:formula1>
            <xm:f>Lista!$R$2:$R$6</xm:f>
          </x14:formula1>
          <xm:sqref>R2:R1048576</xm:sqref>
        </x14:dataValidation>
        <x14:dataValidation type="list" allowBlank="1" showInputMessage="1" showErrorMessage="1" xr:uid="{5C6C85CE-DC9A-4DED-B645-92A652177466}">
          <x14:formula1>
            <xm:f>Lista!$I$2:$I$3</xm:f>
          </x14:formula1>
          <xm:sqref>J2:J1048576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DB62C-E2BA-497C-A615-D9FCE81BB511}">
  <sheetPr codeName="Hoja4"/>
  <dimension ref="A1:U76"/>
  <sheetViews>
    <sheetView workbookViewId="0">
      <selection activeCell="B65" sqref="B65"/>
    </sheetView>
  </sheetViews>
  <sheetFormatPr baseColWidth="10" defaultColWidth="9.140625" defaultRowHeight="15" x14ac:dyDescent="0.25"/>
  <cols>
    <col min="1" max="1" width="12.7109375" style="16" customWidth="1"/>
    <col min="2" max="2" width="27.42578125" style="16" customWidth="1"/>
    <col min="3" max="3" width="20.42578125" style="16" customWidth="1"/>
    <col min="4" max="4" width="18.85546875" style="16" customWidth="1"/>
    <col min="5" max="5" width="12.7109375" style="16" customWidth="1"/>
    <col min="6" max="6" width="17.140625" style="16" customWidth="1"/>
    <col min="7" max="7" width="19.42578125" style="16" customWidth="1"/>
    <col min="8" max="8" width="17" style="16" customWidth="1"/>
    <col min="9" max="11" width="12.7109375" style="16" customWidth="1"/>
    <col min="12" max="12" width="14.85546875" style="16" customWidth="1"/>
    <col min="13" max="13" width="16.5703125" style="16" customWidth="1"/>
    <col min="14" max="15" width="12.7109375" style="16" customWidth="1"/>
    <col min="16" max="16" width="13.28515625" style="16" customWidth="1"/>
    <col min="17" max="20" width="12.7109375" style="16" customWidth="1"/>
    <col min="21" max="21" width="14.28515625" style="16" customWidth="1"/>
  </cols>
  <sheetData>
    <row r="1" spans="1:21" ht="38.25" x14ac:dyDescent="0.25">
      <c r="A1" s="12" t="s">
        <v>54</v>
      </c>
      <c r="B1" s="12" t="s">
        <v>1</v>
      </c>
      <c r="C1" s="12" t="s">
        <v>2</v>
      </c>
      <c r="D1" s="12" t="s">
        <v>36</v>
      </c>
      <c r="E1" s="13" t="s">
        <v>5</v>
      </c>
      <c r="F1" s="14" t="s">
        <v>7</v>
      </c>
      <c r="G1" s="14" t="s">
        <v>55</v>
      </c>
      <c r="H1" s="14" t="s">
        <v>56</v>
      </c>
      <c r="I1" s="14" t="s">
        <v>58</v>
      </c>
      <c r="J1" s="15" t="s">
        <v>3</v>
      </c>
      <c r="K1" s="14" t="s">
        <v>37</v>
      </c>
      <c r="L1" s="14" t="s">
        <v>12</v>
      </c>
      <c r="M1" s="14" t="s">
        <v>97</v>
      </c>
      <c r="N1" s="14" t="s">
        <v>65</v>
      </c>
      <c r="O1" s="14" t="s">
        <v>64</v>
      </c>
      <c r="P1" s="14" t="s">
        <v>96</v>
      </c>
      <c r="Q1" s="14" t="s">
        <v>66</v>
      </c>
      <c r="R1" s="14" t="s">
        <v>8</v>
      </c>
      <c r="S1" s="14" t="s">
        <v>39</v>
      </c>
      <c r="T1" s="14" t="s">
        <v>10</v>
      </c>
      <c r="U1" s="14" t="s">
        <v>11</v>
      </c>
    </row>
    <row r="2" spans="1:21" x14ac:dyDescent="0.25">
      <c r="B2" t="s">
        <v>30</v>
      </c>
      <c r="C2" t="s">
        <v>98</v>
      </c>
      <c r="F2" t="s">
        <v>76</v>
      </c>
      <c r="G2" t="s">
        <v>46</v>
      </c>
      <c r="H2" t="s">
        <v>95</v>
      </c>
      <c r="I2" s="16" t="s">
        <v>22</v>
      </c>
      <c r="M2" t="s">
        <v>38</v>
      </c>
      <c r="P2" t="s">
        <v>99</v>
      </c>
      <c r="R2" t="s">
        <v>17</v>
      </c>
      <c r="T2" t="s">
        <v>22</v>
      </c>
    </row>
    <row r="3" spans="1:21" x14ac:dyDescent="0.25">
      <c r="B3" t="s">
        <v>26</v>
      </c>
      <c r="C3" t="s">
        <v>100</v>
      </c>
      <c r="E3" s="17"/>
      <c r="F3" t="s">
        <v>68</v>
      </c>
      <c r="G3" t="s">
        <v>48</v>
      </c>
      <c r="H3" t="s">
        <v>78</v>
      </c>
      <c r="I3" s="16" t="s">
        <v>23</v>
      </c>
      <c r="J3" s="17"/>
      <c r="M3" t="s">
        <v>14</v>
      </c>
      <c r="P3" t="s">
        <v>101</v>
      </c>
      <c r="R3" t="s">
        <v>18</v>
      </c>
      <c r="T3" t="s">
        <v>23</v>
      </c>
    </row>
    <row r="4" spans="1:21" x14ac:dyDescent="0.25">
      <c r="B4" t="s">
        <v>4</v>
      </c>
      <c r="C4" t="s">
        <v>102</v>
      </c>
      <c r="F4" t="s">
        <v>80</v>
      </c>
      <c r="G4" t="s">
        <v>47</v>
      </c>
      <c r="H4" t="s">
        <v>49</v>
      </c>
      <c r="J4" s="17"/>
      <c r="M4" t="s">
        <v>103</v>
      </c>
      <c r="P4" t="s">
        <v>104</v>
      </c>
      <c r="R4" t="s">
        <v>19</v>
      </c>
    </row>
    <row r="5" spans="1:21" x14ac:dyDescent="0.25">
      <c r="B5" t="s">
        <v>28</v>
      </c>
      <c r="C5" t="s">
        <v>105</v>
      </c>
      <c r="F5" t="s">
        <v>67</v>
      </c>
      <c r="G5" t="s">
        <v>60</v>
      </c>
      <c r="H5" t="s">
        <v>74</v>
      </c>
      <c r="J5" s="17"/>
      <c r="M5" t="s">
        <v>106</v>
      </c>
      <c r="P5" t="s">
        <v>107</v>
      </c>
      <c r="R5" t="s">
        <v>20</v>
      </c>
    </row>
    <row r="6" spans="1:21" x14ac:dyDescent="0.25">
      <c r="B6" t="s">
        <v>81</v>
      </c>
      <c r="C6" t="s">
        <v>108</v>
      </c>
      <c r="F6" t="s">
        <v>13</v>
      </c>
      <c r="G6" t="s">
        <v>43</v>
      </c>
      <c r="H6" t="s">
        <v>52</v>
      </c>
      <c r="J6" s="17"/>
      <c r="M6" t="s">
        <v>72</v>
      </c>
      <c r="P6" t="s">
        <v>109</v>
      </c>
      <c r="R6" t="s">
        <v>21</v>
      </c>
    </row>
    <row r="7" spans="1:21" x14ac:dyDescent="0.25">
      <c r="B7" t="s">
        <v>34</v>
      </c>
      <c r="C7" t="s">
        <v>110</v>
      </c>
      <c r="G7"/>
      <c r="H7" t="s">
        <v>70</v>
      </c>
      <c r="J7" s="17"/>
      <c r="M7" t="s">
        <v>15</v>
      </c>
      <c r="P7" t="s">
        <v>111</v>
      </c>
    </row>
    <row r="8" spans="1:21" x14ac:dyDescent="0.25">
      <c r="B8" t="s">
        <v>33</v>
      </c>
      <c r="C8" t="s">
        <v>112</v>
      </c>
      <c r="G8" t="s">
        <v>73</v>
      </c>
      <c r="H8" t="s">
        <v>51</v>
      </c>
      <c r="J8" s="17"/>
      <c r="M8" t="s">
        <v>16</v>
      </c>
    </row>
    <row r="9" spans="1:21" x14ac:dyDescent="0.25">
      <c r="B9" t="s">
        <v>29</v>
      </c>
      <c r="C9" t="s">
        <v>113</v>
      </c>
      <c r="G9" t="s">
        <v>183</v>
      </c>
      <c r="H9" t="s">
        <v>79</v>
      </c>
      <c r="J9" s="17"/>
      <c r="M9" t="s">
        <v>75</v>
      </c>
    </row>
    <row r="10" spans="1:21" x14ac:dyDescent="0.25">
      <c r="B10" t="s">
        <v>82</v>
      </c>
      <c r="C10" t="s">
        <v>114</v>
      </c>
      <c r="G10" t="s">
        <v>42</v>
      </c>
      <c r="H10" t="s">
        <v>77</v>
      </c>
      <c r="J10" s="17"/>
    </row>
    <row r="11" spans="1:21" x14ac:dyDescent="0.25">
      <c r="B11" t="s">
        <v>83</v>
      </c>
      <c r="C11" t="s">
        <v>115</v>
      </c>
      <c r="G11" t="s">
        <v>40</v>
      </c>
      <c r="H11" t="s">
        <v>69</v>
      </c>
      <c r="J11" s="17"/>
    </row>
    <row r="12" spans="1:21" x14ac:dyDescent="0.25">
      <c r="B12" t="s">
        <v>84</v>
      </c>
      <c r="C12" t="s">
        <v>116</v>
      </c>
      <c r="G12" t="s">
        <v>61</v>
      </c>
      <c r="H12" t="s">
        <v>59</v>
      </c>
      <c r="J12" s="17"/>
    </row>
    <row r="13" spans="1:21" x14ac:dyDescent="0.25">
      <c r="B13" t="s">
        <v>27</v>
      </c>
      <c r="C13" t="s">
        <v>117</v>
      </c>
      <c r="G13" t="s">
        <v>41</v>
      </c>
      <c r="H13" t="s">
        <v>50</v>
      </c>
      <c r="J13" s="17"/>
    </row>
    <row r="14" spans="1:21" x14ac:dyDescent="0.25">
      <c r="B14" t="s">
        <v>85</v>
      </c>
      <c r="C14" t="s">
        <v>118</v>
      </c>
      <c r="G14" t="s">
        <v>45</v>
      </c>
      <c r="H14" t="s">
        <v>53</v>
      </c>
      <c r="J14" s="17"/>
    </row>
    <row r="15" spans="1:21" x14ac:dyDescent="0.25">
      <c r="B15" t="s">
        <v>25</v>
      </c>
      <c r="C15" t="s">
        <v>119</v>
      </c>
      <c r="G15" t="s">
        <v>44</v>
      </c>
      <c r="H15" t="s">
        <v>57</v>
      </c>
      <c r="J15" s="17"/>
    </row>
    <row r="16" spans="1:21" x14ac:dyDescent="0.25">
      <c r="B16" t="s">
        <v>35</v>
      </c>
      <c r="C16" t="s">
        <v>120</v>
      </c>
      <c r="J16" s="17"/>
    </row>
    <row r="17" spans="2:10" x14ac:dyDescent="0.25">
      <c r="B17" t="s">
        <v>86</v>
      </c>
      <c r="C17" t="s">
        <v>121</v>
      </c>
      <c r="J17" s="17"/>
    </row>
    <row r="18" spans="2:10" x14ac:dyDescent="0.25">
      <c r="B18" t="s">
        <v>87</v>
      </c>
      <c r="C18" t="s">
        <v>122</v>
      </c>
      <c r="J18" s="17"/>
    </row>
    <row r="19" spans="2:10" x14ac:dyDescent="0.25">
      <c r="B19" t="s">
        <v>88</v>
      </c>
      <c r="C19" t="s">
        <v>123</v>
      </c>
    </row>
    <row r="20" spans="2:10" x14ac:dyDescent="0.25">
      <c r="B20" t="s">
        <v>89</v>
      </c>
      <c r="C20" t="s">
        <v>124</v>
      </c>
    </row>
    <row r="21" spans="2:10" x14ac:dyDescent="0.25">
      <c r="B21" t="s">
        <v>90</v>
      </c>
      <c r="C21" t="s">
        <v>125</v>
      </c>
    </row>
    <row r="22" spans="2:10" x14ac:dyDescent="0.25">
      <c r="B22" t="s">
        <v>32</v>
      </c>
      <c r="C22" t="s">
        <v>126</v>
      </c>
    </row>
    <row r="23" spans="2:10" x14ac:dyDescent="0.25">
      <c r="B23" t="s">
        <v>91</v>
      </c>
      <c r="C23" t="s">
        <v>127</v>
      </c>
    </row>
    <row r="24" spans="2:10" x14ac:dyDescent="0.25">
      <c r="B24" t="s">
        <v>31</v>
      </c>
      <c r="C24" t="s">
        <v>128</v>
      </c>
    </row>
    <row r="25" spans="2:10" x14ac:dyDescent="0.25">
      <c r="B25" t="s">
        <v>92</v>
      </c>
      <c r="C25" t="s">
        <v>129</v>
      </c>
    </row>
    <row r="26" spans="2:10" x14ac:dyDescent="0.25">
      <c r="B26" t="s">
        <v>24</v>
      </c>
      <c r="C26" t="s">
        <v>130</v>
      </c>
    </row>
    <row r="27" spans="2:10" x14ac:dyDescent="0.25">
      <c r="B27" t="s">
        <v>93</v>
      </c>
      <c r="C27" t="s">
        <v>131</v>
      </c>
    </row>
    <row r="28" spans="2:10" x14ac:dyDescent="0.25">
      <c r="B28" t="s">
        <v>94</v>
      </c>
      <c r="C28" t="s">
        <v>132</v>
      </c>
    </row>
    <row r="29" spans="2:10" x14ac:dyDescent="0.25">
      <c r="B29" t="s">
        <v>71</v>
      </c>
      <c r="C29" t="s">
        <v>133</v>
      </c>
    </row>
    <row r="30" spans="2:10" x14ac:dyDescent="0.25">
      <c r="C30" t="s">
        <v>134</v>
      </c>
    </row>
    <row r="31" spans="2:10" x14ac:dyDescent="0.25">
      <c r="C31" t="s">
        <v>135</v>
      </c>
    </row>
    <row r="32" spans="2:10" x14ac:dyDescent="0.25">
      <c r="C32" t="s">
        <v>136</v>
      </c>
    </row>
    <row r="33" spans="3:3" x14ac:dyDescent="0.25">
      <c r="C33" t="s">
        <v>137</v>
      </c>
    </row>
    <row r="34" spans="3:3" x14ac:dyDescent="0.25">
      <c r="C34" t="s">
        <v>138</v>
      </c>
    </row>
    <row r="35" spans="3:3" x14ac:dyDescent="0.25">
      <c r="C35" t="s">
        <v>139</v>
      </c>
    </row>
    <row r="36" spans="3:3" x14ac:dyDescent="0.25">
      <c r="C36" t="s">
        <v>140</v>
      </c>
    </row>
    <row r="37" spans="3:3" x14ac:dyDescent="0.25">
      <c r="C37" t="s">
        <v>141</v>
      </c>
    </row>
    <row r="38" spans="3:3" x14ac:dyDescent="0.25">
      <c r="C38" t="s">
        <v>142</v>
      </c>
    </row>
    <row r="39" spans="3:3" x14ac:dyDescent="0.25">
      <c r="C39" t="s">
        <v>143</v>
      </c>
    </row>
    <row r="40" spans="3:3" x14ac:dyDescent="0.25">
      <c r="C40" t="s">
        <v>144</v>
      </c>
    </row>
    <row r="41" spans="3:3" x14ac:dyDescent="0.25">
      <c r="C41" t="s">
        <v>145</v>
      </c>
    </row>
    <row r="42" spans="3:3" x14ac:dyDescent="0.25">
      <c r="C42" t="s">
        <v>146</v>
      </c>
    </row>
    <row r="43" spans="3:3" x14ac:dyDescent="0.25">
      <c r="C43" t="s">
        <v>147</v>
      </c>
    </row>
    <row r="44" spans="3:3" x14ac:dyDescent="0.25">
      <c r="C44" t="s">
        <v>148</v>
      </c>
    </row>
    <row r="45" spans="3:3" x14ac:dyDescent="0.25">
      <c r="C45" t="s">
        <v>149</v>
      </c>
    </row>
    <row r="46" spans="3:3" x14ac:dyDescent="0.25">
      <c r="C46" t="s">
        <v>150</v>
      </c>
    </row>
    <row r="47" spans="3:3" x14ac:dyDescent="0.25">
      <c r="C47" t="s">
        <v>151</v>
      </c>
    </row>
    <row r="48" spans="3:3" x14ac:dyDescent="0.25">
      <c r="C48" t="s">
        <v>152</v>
      </c>
    </row>
    <row r="49" spans="3:3" x14ac:dyDescent="0.25">
      <c r="C49" t="s">
        <v>153</v>
      </c>
    </row>
    <row r="50" spans="3:3" x14ac:dyDescent="0.25">
      <c r="C50" t="s">
        <v>154</v>
      </c>
    </row>
    <row r="51" spans="3:3" x14ac:dyDescent="0.25">
      <c r="C51" t="s">
        <v>155</v>
      </c>
    </row>
    <row r="52" spans="3:3" x14ac:dyDescent="0.25">
      <c r="C52" t="s">
        <v>156</v>
      </c>
    </row>
    <row r="53" spans="3:3" x14ac:dyDescent="0.25">
      <c r="C53" t="s">
        <v>157</v>
      </c>
    </row>
    <row r="54" spans="3:3" x14ac:dyDescent="0.25">
      <c r="C54" t="s">
        <v>158</v>
      </c>
    </row>
    <row r="55" spans="3:3" x14ac:dyDescent="0.25">
      <c r="C55" t="s">
        <v>159</v>
      </c>
    </row>
    <row r="56" spans="3:3" x14ac:dyDescent="0.25">
      <c r="C56" t="s">
        <v>160</v>
      </c>
    </row>
    <row r="57" spans="3:3" x14ac:dyDescent="0.25">
      <c r="C57" t="s">
        <v>161</v>
      </c>
    </row>
    <row r="58" spans="3:3" x14ac:dyDescent="0.25">
      <c r="C58" t="s">
        <v>162</v>
      </c>
    </row>
    <row r="59" spans="3:3" x14ac:dyDescent="0.25">
      <c r="C59" t="s">
        <v>163</v>
      </c>
    </row>
    <row r="60" spans="3:3" x14ac:dyDescent="0.25">
      <c r="C60" t="s">
        <v>164</v>
      </c>
    </row>
    <row r="61" spans="3:3" x14ac:dyDescent="0.25">
      <c r="C61" t="s">
        <v>165</v>
      </c>
    </row>
    <row r="62" spans="3:3" x14ac:dyDescent="0.25">
      <c r="C62" t="s">
        <v>166</v>
      </c>
    </row>
    <row r="63" spans="3:3" x14ac:dyDescent="0.25">
      <c r="C63" t="s">
        <v>167</v>
      </c>
    </row>
    <row r="64" spans="3:3" x14ac:dyDescent="0.25">
      <c r="C64" t="s">
        <v>168</v>
      </c>
    </row>
    <row r="65" spans="3:3" x14ac:dyDescent="0.25">
      <c r="C65" t="s">
        <v>169</v>
      </c>
    </row>
    <row r="66" spans="3:3" x14ac:dyDescent="0.25">
      <c r="C66" t="s">
        <v>184</v>
      </c>
    </row>
    <row r="67" spans="3:3" x14ac:dyDescent="0.25">
      <c r="C67" t="s">
        <v>170</v>
      </c>
    </row>
    <row r="68" spans="3:3" x14ac:dyDescent="0.25">
      <c r="C68" t="s">
        <v>171</v>
      </c>
    </row>
    <row r="69" spans="3:3" x14ac:dyDescent="0.25">
      <c r="C69" t="s">
        <v>172</v>
      </c>
    </row>
    <row r="70" spans="3:3" x14ac:dyDescent="0.25">
      <c r="C70" t="s">
        <v>173</v>
      </c>
    </row>
    <row r="71" spans="3:3" x14ac:dyDescent="0.25">
      <c r="C71" t="s">
        <v>174</v>
      </c>
    </row>
    <row r="72" spans="3:3" x14ac:dyDescent="0.25">
      <c r="C72" t="s">
        <v>175</v>
      </c>
    </row>
    <row r="73" spans="3:3" x14ac:dyDescent="0.25">
      <c r="C73" t="s">
        <v>176</v>
      </c>
    </row>
    <row r="74" spans="3:3" x14ac:dyDescent="0.25">
      <c r="C74" t="s">
        <v>177</v>
      </c>
    </row>
    <row r="75" spans="3:3" x14ac:dyDescent="0.25">
      <c r="C75" t="s">
        <v>178</v>
      </c>
    </row>
    <row r="76" spans="3:3" x14ac:dyDescent="0.25">
      <c r="C76" t="s">
        <v>179</v>
      </c>
    </row>
  </sheetData>
  <conditionalFormatting sqref="A1">
    <cfRule type="duplicateValues" dxfId="0" priority="1"/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68506A-AE9F-4C54-B499-C046E4AAC9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Ingreso</vt:lpstr>
      <vt:lpstr>DB</vt:lpstr>
      <vt:lpstr>Lista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Leander Perez;Leander Jose Perez Gonzalez</dc:creator>
  <cp:lastModifiedBy>Leander Perez</cp:lastModifiedBy>
  <cp:lastPrinted>2022-02-07T19:11:39Z</cp:lastPrinted>
  <dcterms:created xsi:type="dcterms:W3CDTF">2020-11-26T13:38:43Z</dcterms:created>
  <dcterms:modified xsi:type="dcterms:W3CDTF">2024-04-29T15:02:32Z</dcterms:modified>
</cp:coreProperties>
</file>